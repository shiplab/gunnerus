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P:\C-Job Nikolayev\25.1142_NTNU Concept\00-Concept Design\Deliverables\PDF_Exel\"/>
    </mc:Choice>
  </mc:AlternateContent>
  <xr:revisionPtr revIDLastSave="0" documentId="13_ncr:1_{9BB012D3-A402-4154-945E-4F1379AB62A0}" xr6:coauthVersionLast="47" xr6:coauthVersionMax="47" xr10:uidLastSave="{00000000-0000-0000-0000-000000000000}"/>
  <bookViews>
    <workbookView xWindow="-108" yWindow="-108" windowWidth="23256" windowHeight="12576" tabRatio="872" xr2:uid="{00000000-000D-0000-FFFF-FFFF00000000}"/>
  </bookViews>
  <sheets>
    <sheet name="GTNT-CALCULATION" sheetId="21" r:id="rId1"/>
  </sheets>
  <definedNames>
    <definedName name="B">'GTNT-CALCULATION'!$G$27</definedName>
    <definedName name="D">'GTNT-CALCULATION'!$G$28</definedName>
    <definedName name="Disp">'GTNT-CALCULATION'!$C$30</definedName>
    <definedName name="dr">'GTNT-CALCULATION'!$G$29</definedName>
    <definedName name="GT">'GTNT-CALCULATION'!$G$46</definedName>
    <definedName name="K_1">'GTNT-CALCULATION'!$G$39</definedName>
    <definedName name="K_2">'GTNT-CALCULATION'!$G$40</definedName>
    <definedName name="K_3">'GTNT-CALCULATION'!$G$41</definedName>
    <definedName name="Loa">'GTNT-CALCULATION'!$G$25</definedName>
    <definedName name="Lpp">'GTNT-CALCULATION'!$G$26</definedName>
    <definedName name="N_1">'GTNT-CALCULATION'!$G$37</definedName>
    <definedName name="N_2">'GTNT-CALCULATION'!$G$38</definedName>
    <definedName name="NT">'GTNT-CALCULATION'!$G$47</definedName>
    <definedName name="_xlnm.Print_Area" localSheetId="0">'GTNT-CALCULATION'!$A$18:$I$49</definedName>
    <definedName name="V">'GTNT-CALCULATION'!$G$33</definedName>
    <definedName name="Vc">'GTNT-CALCULATION'!$G$34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1" l="1"/>
  <c r="N1" i="21"/>
  <c r="G34" i="21"/>
  <c r="N7" i="21" l="1"/>
  <c r="G33" i="21" s="1"/>
  <c r="G40" i="21"/>
  <c r="G36" i="21"/>
  <c r="G35" i="21"/>
  <c r="G42" i="21" l="1"/>
  <c r="G39" i="21" l="1"/>
  <c r="G46" i="21" l="1"/>
  <c r="G41" i="21" l="1"/>
  <c r="G43" i="21"/>
  <c r="G47" i="21" l="1"/>
</calcChain>
</file>

<file path=xl/sharedStrings.xml><?xml version="1.0" encoding="utf-8"?>
<sst xmlns="http://schemas.openxmlformats.org/spreadsheetml/2006/main" count="117" uniqueCount="85">
  <si>
    <t>Calculation sheet info:</t>
  </si>
  <si>
    <t>Originator:</t>
  </si>
  <si>
    <t>Revision:</t>
  </si>
  <si>
    <t>Last modified:</t>
  </si>
  <si>
    <t>Project info:</t>
  </si>
  <si>
    <t>Order No.:</t>
  </si>
  <si>
    <t>Date:</t>
  </si>
  <si>
    <t>General ship data:</t>
  </si>
  <si>
    <t>Length overall</t>
  </si>
  <si>
    <t>[m]</t>
  </si>
  <si>
    <t>Class:</t>
  </si>
  <si>
    <t>[-]</t>
  </si>
  <si>
    <t xml:space="preserve"> </t>
  </si>
  <si>
    <t>Project:</t>
  </si>
  <si>
    <t>Status:</t>
  </si>
  <si>
    <t>Ship Type:</t>
  </si>
  <si>
    <t>Vessel info:</t>
  </si>
  <si>
    <t>Title:</t>
  </si>
  <si>
    <t>D</t>
  </si>
  <si>
    <t>V</t>
  </si>
  <si>
    <t>Shall not be taken as less than 0,30*GT</t>
  </si>
  <si>
    <t>=</t>
  </si>
  <si>
    <t>NT</t>
  </si>
  <si>
    <t>Net tonnage</t>
  </si>
  <si>
    <t>GT</t>
  </si>
  <si>
    <t>Gross tonnage</t>
  </si>
  <si>
    <t>Not to be taken less than 0.25*GT</t>
  </si>
  <si>
    <t>Not to be taken greater than unity</t>
  </si>
  <si>
    <t>d</t>
  </si>
  <si>
    <t>Moulded draught</t>
  </si>
  <si>
    <t>Moulded depth</t>
  </si>
  <si>
    <t>Total volume of the ship</t>
  </si>
  <si>
    <t>[tonnes]</t>
  </si>
  <si>
    <t>Breadth (moulded)</t>
  </si>
  <si>
    <t>m3</t>
  </si>
  <si>
    <t>GT/NT-calculation</t>
  </si>
  <si>
    <t>IMO, International Convention on Tonnage 
Measurement of Ships, Annex 1</t>
  </si>
  <si>
    <r>
      <t>[m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]</t>
    </r>
  </si>
  <si>
    <r>
      <t>V</t>
    </r>
    <r>
      <rPr>
        <vertAlign val="subscript"/>
        <sz val="11"/>
        <rFont val="Calibri"/>
        <family val="2"/>
        <scheme val="minor"/>
      </rPr>
      <t>c</t>
    </r>
  </si>
  <si>
    <r>
      <t>N</t>
    </r>
    <r>
      <rPr>
        <vertAlign val="subscript"/>
        <sz val="11"/>
        <rFont val="Calibri"/>
        <family val="2"/>
        <scheme val="minor"/>
      </rPr>
      <t>1</t>
    </r>
  </si>
  <si>
    <r>
      <t>N</t>
    </r>
    <r>
      <rPr>
        <vertAlign val="subscript"/>
        <sz val="11"/>
        <rFont val="Calibri"/>
        <family val="2"/>
        <scheme val="minor"/>
      </rPr>
      <t>2</t>
    </r>
  </si>
  <si>
    <r>
      <t>K</t>
    </r>
    <r>
      <rPr>
        <vertAlign val="subscript"/>
        <sz val="11"/>
        <rFont val="Calibri"/>
        <family val="2"/>
        <scheme val="minor"/>
      </rPr>
      <t>1</t>
    </r>
  </si>
  <si>
    <r>
      <t>K</t>
    </r>
    <r>
      <rPr>
        <vertAlign val="sub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 = 0.2 + 0.02*log</t>
    </r>
    <r>
      <rPr>
        <vertAlign val="super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(V)</t>
    </r>
  </si>
  <si>
    <r>
      <t>K</t>
    </r>
    <r>
      <rPr>
        <vertAlign val="subscript"/>
        <sz val="11"/>
        <rFont val="Calibri"/>
        <family val="2"/>
        <scheme val="minor"/>
      </rPr>
      <t>2</t>
    </r>
  </si>
  <si>
    <r>
      <t>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= 0.2 + 0.02*log</t>
    </r>
    <r>
      <rPr>
        <vertAlign val="super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(V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>)</t>
    </r>
  </si>
  <si>
    <r>
      <t>K</t>
    </r>
    <r>
      <rPr>
        <vertAlign val="subscript"/>
        <sz val="11"/>
        <rFont val="Calibri"/>
        <family val="2"/>
        <scheme val="minor"/>
      </rPr>
      <t>3</t>
    </r>
  </si>
  <si>
    <r>
      <t>K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= 1.25*(GT+10000)/10000</t>
    </r>
  </si>
  <si>
    <r>
      <t>((4*d)/(3*D))</t>
    </r>
    <r>
      <rPr>
        <vertAlign val="superscript"/>
        <sz val="11"/>
        <rFont val="Calibri"/>
        <family val="2"/>
        <scheme val="minor"/>
      </rPr>
      <t>2</t>
    </r>
  </si>
  <si>
    <r>
      <t>GT = K</t>
    </r>
    <r>
      <rPr>
        <vertAlign val="sub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 * V</t>
    </r>
  </si>
  <si>
    <t>Reference Document:</t>
  </si>
  <si>
    <r>
      <t>NT = 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*V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>*((4*d)/(3*D))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</t>
    </r>
  </si>
  <si>
    <t>Results:</t>
  </si>
  <si>
    <t>Rules reg.:</t>
  </si>
  <si>
    <t>Rules year:</t>
  </si>
  <si>
    <t>Number of other passengers</t>
  </si>
  <si>
    <r>
      <t>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*V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>*((4*d)/(3*D))</t>
    </r>
    <r>
      <rPr>
        <vertAlign val="superscript"/>
        <sz val="11"/>
        <rFont val="Calibri"/>
        <family val="2"/>
        <scheme val="minor"/>
      </rPr>
      <t>2</t>
    </r>
  </si>
  <si>
    <r>
      <t xml:space="preserve">         +K</t>
    </r>
    <r>
      <rPr>
        <vertAlign val="sub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*(N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+(N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/10))</t>
    </r>
  </si>
  <si>
    <t>Margin 0.1%</t>
  </si>
  <si>
    <r>
      <rPr>
        <sz val="10"/>
        <color theme="1"/>
        <rFont val="Calibri"/>
        <family val="2"/>
        <scheme val="minor"/>
      </rPr>
      <t>If N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+N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</rPr>
      <t>&lt; 13, then N</t>
    </r>
    <r>
      <rPr>
        <vertAlign val="subscript"/>
        <sz val="10"/>
        <color theme="1"/>
        <rFont val="Calibri"/>
        <family val="2"/>
      </rPr>
      <t>1</t>
    </r>
    <r>
      <rPr>
        <sz val="10"/>
        <color theme="1"/>
        <rFont val="Calibri"/>
        <family val="2"/>
      </rPr>
      <t>=N</t>
    </r>
    <r>
      <rPr>
        <vertAlign val="sub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=0</t>
    </r>
  </si>
  <si>
    <t>Volume of the cargospace (hopper)</t>
  </si>
  <si>
    <t>Total volume of the ship (incl. hopper)</t>
  </si>
  <si>
    <t>Superstructures</t>
  </si>
  <si>
    <t>-</t>
  </si>
  <si>
    <t>000-024</t>
  </si>
  <si>
    <t>Document:</t>
  </si>
  <si>
    <t>Loa</t>
  </si>
  <si>
    <t>Lpp</t>
  </si>
  <si>
    <t>B</t>
  </si>
  <si>
    <t>Ts</t>
  </si>
  <si>
    <t>Navigation Area:</t>
  </si>
  <si>
    <t>IMO, International Convention on Tonnage Measurement of Ships 1969, Annex 1</t>
  </si>
  <si>
    <t>Draught design (summer)</t>
  </si>
  <si>
    <t>Depth to freeboard deck</t>
  </si>
  <si>
    <t>Length between perpendiculars</t>
  </si>
  <si>
    <t>Number of passengers in cabins &lt; 8 berths</t>
  </si>
  <si>
    <t>0</t>
  </si>
  <si>
    <t>PRELIMINARY</t>
  </si>
  <si>
    <t>AHA</t>
  </si>
  <si>
    <t>25.1142</t>
  </si>
  <si>
    <t>Research vessel</t>
  </si>
  <si>
    <t>DNV</t>
  </si>
  <si>
    <t>Small coastal trade</t>
  </si>
  <si>
    <t>24/12/2025</t>
  </si>
  <si>
    <t>Hull</t>
  </si>
  <si>
    <t>Volume of the cargospace: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</si>
</sst>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6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8"/>
      <name val="Calibri"/>
      <family val="2"/>
      <scheme val="minor"/>
    </font>
    <font>
      <sz val="20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1" applyNumberFormat="0" applyAlignment="0" applyProtection="0"/>
    <xf numFmtId="0" fontId="7" fillId="6" borderId="2" applyNumberFormat="0" applyAlignment="0" applyProtection="0"/>
    <xf numFmtId="0" fontId="8" fillId="6" borderId="1" applyNumberFormat="0" applyAlignment="0" applyProtection="0"/>
    <xf numFmtId="0" fontId="9" fillId="0" borderId="3" applyNumberFormat="0" applyFill="0" applyAlignment="0" applyProtection="0"/>
    <xf numFmtId="0" fontId="10" fillId="7" borderId="4" applyNumberFormat="0" applyAlignment="0" applyProtection="0"/>
    <xf numFmtId="0" fontId="11" fillId="0" borderId="0" applyNumberFormat="0" applyFill="0" applyBorder="0" applyAlignment="0" applyProtection="0"/>
    <xf numFmtId="0" fontId="1" fillId="8" borderId="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2" fontId="1" fillId="9" borderId="7" applyProtection="0"/>
    <xf numFmtId="2" fontId="1" fillId="10" borderId="7" applyAlignment="0" applyProtection="0"/>
    <xf numFmtId="2" fontId="1" fillId="11" borderId="7" applyAlignment="0" applyProtection="0"/>
    <xf numFmtId="0" fontId="14" fillId="0" borderId="0"/>
    <xf numFmtId="0" fontId="15" fillId="0" borderId="0"/>
    <xf numFmtId="2" fontId="1" fillId="12" borderId="7" applyAlignment="0" applyProtection="0"/>
    <xf numFmtId="0" fontId="1" fillId="0" borderId="0"/>
    <xf numFmtId="2" fontId="1" fillId="9" borderId="7" applyProtection="0"/>
    <xf numFmtId="2" fontId="1" fillId="10" borderId="7" applyAlignment="0" applyProtection="0"/>
    <xf numFmtId="2" fontId="1" fillId="11" borderId="7" applyAlignment="0" applyProtection="0"/>
    <xf numFmtId="0" fontId="14" fillId="0" borderId="0"/>
    <xf numFmtId="2" fontId="1" fillId="9" borderId="7" applyProtection="0"/>
  </cellStyleXfs>
  <cellXfs count="96">
    <xf numFmtId="0" fontId="0" fillId="0" borderId="0" xfId="0"/>
    <xf numFmtId="0" fontId="1" fillId="0" borderId="0" xfId="20"/>
    <xf numFmtId="0" fontId="13" fillId="0" borderId="0" xfId="20" applyFont="1"/>
    <xf numFmtId="0" fontId="0" fillId="0" borderId="0" xfId="20" applyFont="1"/>
    <xf numFmtId="0" fontId="0" fillId="0" borderId="0" xfId="20" applyFont="1" applyAlignment="1">
      <alignment horizontal="left"/>
    </xf>
    <xf numFmtId="0" fontId="14" fillId="0" borderId="0" xfId="24"/>
    <xf numFmtId="0" fontId="17" fillId="13" borderId="0" xfId="24" applyFont="1" applyFill="1"/>
    <xf numFmtId="0" fontId="16" fillId="13" borderId="0" xfId="24" applyFont="1" applyFill="1" applyAlignment="1">
      <alignment horizontal="right"/>
    </xf>
    <xf numFmtId="0" fontId="17" fillId="13" borderId="0" xfId="24" quotePrefix="1" applyFont="1" applyFill="1" applyAlignment="1">
      <alignment horizontal="center"/>
    </xf>
    <xf numFmtId="0" fontId="17" fillId="13" borderId="0" xfId="24" applyFont="1" applyFill="1" applyAlignment="1">
      <alignment horizontal="right"/>
    </xf>
    <xf numFmtId="0" fontId="17" fillId="13" borderId="11" xfId="24" applyFont="1" applyFill="1" applyBorder="1"/>
    <xf numFmtId="49" fontId="0" fillId="0" borderId="0" xfId="20" applyNumberFormat="1" applyFont="1"/>
    <xf numFmtId="0" fontId="17" fillId="13" borderId="0" xfId="24" applyFont="1" applyFill="1" applyAlignment="1">
      <alignment horizontal="left"/>
    </xf>
    <xf numFmtId="0" fontId="29" fillId="0" borderId="0" xfId="20" applyFont="1"/>
    <xf numFmtId="0" fontId="14" fillId="0" borderId="0" xfId="24" applyAlignment="1">
      <alignment horizontal="right"/>
    </xf>
    <xf numFmtId="0" fontId="14" fillId="0" borderId="0" xfId="24" applyAlignment="1">
      <alignment horizontal="left"/>
    </xf>
    <xf numFmtId="49" fontId="0" fillId="0" borderId="0" xfId="20" applyNumberFormat="1" applyFont="1" applyAlignment="1">
      <alignment horizontal="left"/>
    </xf>
    <xf numFmtId="0" fontId="0" fillId="0" borderId="0" xfId="20" applyFont="1" applyAlignment="1">
      <alignment horizontal="left" vertical="top" wrapText="1"/>
    </xf>
    <xf numFmtId="0" fontId="1" fillId="0" borderId="0" xfId="20" applyAlignment="1">
      <alignment horizontal="left" vertical="top"/>
    </xf>
    <xf numFmtId="0" fontId="0" fillId="0" borderId="0" xfId="20" applyFont="1" applyAlignment="1">
      <alignment horizontal="left" wrapText="1"/>
    </xf>
    <xf numFmtId="0" fontId="17" fillId="13" borderId="0" xfId="24" applyFont="1" applyFill="1" applyAlignment="1">
      <alignment horizontal="left" vertical="top" wrapText="1"/>
    </xf>
    <xf numFmtId="0" fontId="18" fillId="0" borderId="0" xfId="24" applyFont="1"/>
    <xf numFmtId="0" fontId="18" fillId="0" borderId="0" xfId="24" applyFont="1" applyAlignment="1">
      <alignment horizontal="center"/>
    </xf>
    <xf numFmtId="0" fontId="20" fillId="0" borderId="0" xfId="24" applyFont="1"/>
    <xf numFmtId="49" fontId="18" fillId="0" borderId="0" xfId="24" applyNumberFormat="1" applyFont="1"/>
    <xf numFmtId="1" fontId="18" fillId="0" borderId="0" xfId="24" applyNumberFormat="1" applyFont="1"/>
    <xf numFmtId="49" fontId="14" fillId="0" borderId="0" xfId="24" applyNumberFormat="1"/>
    <xf numFmtId="1" fontId="14" fillId="0" borderId="0" xfId="24" applyNumberFormat="1"/>
    <xf numFmtId="0" fontId="18" fillId="0" borderId="0" xfId="24" applyFont="1" applyAlignment="1">
      <alignment horizontal="left"/>
    </xf>
    <xf numFmtId="1" fontId="19" fillId="0" borderId="0" xfId="24" applyNumberFormat="1" applyFont="1"/>
    <xf numFmtId="0" fontId="18" fillId="0" borderId="7" xfId="24" applyFont="1" applyBorder="1"/>
    <xf numFmtId="0" fontId="18" fillId="0" borderId="7" xfId="24" applyFont="1" applyBorder="1" applyAlignment="1">
      <alignment horizontal="right"/>
    </xf>
    <xf numFmtId="0" fontId="1" fillId="0" borderId="7" xfId="20" applyBorder="1"/>
    <xf numFmtId="10" fontId="18" fillId="0" borderId="7" xfId="24" applyNumberFormat="1" applyFont="1" applyBorder="1" applyAlignment="1">
      <alignment horizontal="right"/>
    </xf>
    <xf numFmtId="49" fontId="0" fillId="0" borderId="7" xfId="21" applyNumberFormat="1" applyFont="1" applyFill="1" applyAlignment="1">
      <alignment horizontal="left"/>
    </xf>
    <xf numFmtId="2" fontId="0" fillId="0" borderId="7" xfId="14" applyFont="1" applyFill="1"/>
    <xf numFmtId="0" fontId="17" fillId="0" borderId="7" xfId="24" applyFont="1" applyBorder="1" applyAlignment="1">
      <alignment horizontal="right"/>
    </xf>
    <xf numFmtId="0" fontId="17" fillId="0" borderId="7" xfId="24" quotePrefix="1" applyFont="1" applyBorder="1" applyAlignment="1">
      <alignment horizontal="center"/>
    </xf>
    <xf numFmtId="0" fontId="17" fillId="0" borderId="0" xfId="24" applyFont="1"/>
    <xf numFmtId="0" fontId="1" fillId="0" borderId="11" xfId="20" applyBorder="1"/>
    <xf numFmtId="0" fontId="0" fillId="0" borderId="11" xfId="20" applyFont="1" applyBorder="1" applyAlignment="1">
      <alignment vertical="top" wrapText="1"/>
    </xf>
    <xf numFmtId="2" fontId="1" fillId="0" borderId="7" xfId="15" applyFill="1" applyAlignment="1" applyProtection="1"/>
    <xf numFmtId="0" fontId="1" fillId="0" borderId="12" xfId="20" applyBorder="1"/>
    <xf numFmtId="0" fontId="17" fillId="0" borderId="10" xfId="24" applyFont="1" applyBorder="1" applyAlignment="1">
      <alignment horizontal="right"/>
    </xf>
    <xf numFmtId="0" fontId="17" fillId="0" borderId="13" xfId="24" quotePrefix="1" applyFont="1" applyBorder="1" applyAlignment="1">
      <alignment horizontal="center"/>
    </xf>
    <xf numFmtId="0" fontId="17" fillId="0" borderId="9" xfId="24" applyFont="1" applyBorder="1"/>
    <xf numFmtId="0" fontId="1" fillId="0" borderId="8" xfId="20" applyBorder="1" applyAlignment="1">
      <alignment horizontal="center"/>
    </xf>
    <xf numFmtId="164" fontId="1" fillId="0" borderId="7" xfId="15" applyNumberFormat="1" applyFill="1" applyAlignment="1" applyProtection="1"/>
    <xf numFmtId="0" fontId="17" fillId="0" borderId="7" xfId="24" applyFont="1" applyBorder="1"/>
    <xf numFmtId="0" fontId="17" fillId="0" borderId="7" xfId="24" applyFont="1" applyBorder="1" applyAlignment="1">
      <alignment horizontal="center"/>
    </xf>
    <xf numFmtId="1" fontId="1" fillId="0" borderId="7" xfId="15" applyNumberFormat="1" applyFill="1" applyAlignment="1" applyProtection="1"/>
    <xf numFmtId="0" fontId="17" fillId="0" borderId="8" xfId="24" applyFont="1" applyBorder="1" applyAlignment="1">
      <alignment horizontal="right"/>
    </xf>
    <xf numFmtId="1" fontId="13" fillId="0" borderId="7" xfId="15" applyNumberFormat="1" applyFont="1" applyFill="1" applyAlignment="1" applyProtection="1"/>
    <xf numFmtId="1" fontId="13" fillId="0" borderId="7" xfId="15" applyNumberFormat="1" applyFont="1" applyFill="1" applyProtection="1"/>
    <xf numFmtId="0" fontId="17" fillId="0" borderId="20" xfId="24" applyFont="1" applyBorder="1" applyAlignment="1">
      <alignment horizontal="right"/>
    </xf>
    <xf numFmtId="0" fontId="17" fillId="0" borderId="20" xfId="24" quotePrefix="1" applyFont="1" applyBorder="1" applyAlignment="1">
      <alignment horizontal="center"/>
    </xf>
    <xf numFmtId="2" fontId="1" fillId="0" borderId="20" xfId="15" applyFill="1" applyBorder="1" applyProtection="1">
      <protection locked="0"/>
    </xf>
    <xf numFmtId="0" fontId="17" fillId="0" borderId="21" xfId="24" applyFont="1" applyBorder="1" applyAlignment="1">
      <alignment horizontal="right"/>
    </xf>
    <xf numFmtId="0" fontId="17" fillId="0" borderId="14" xfId="24" quotePrefix="1" applyFont="1" applyBorder="1" applyAlignment="1">
      <alignment horizontal="center"/>
    </xf>
    <xf numFmtId="1" fontId="17" fillId="0" borderId="15" xfId="24" applyNumberFormat="1" applyFont="1" applyBorder="1" applyProtection="1">
      <protection locked="0"/>
    </xf>
    <xf numFmtId="0" fontId="17" fillId="0" borderId="22" xfId="24" applyFont="1" applyBorder="1" applyAlignment="1">
      <alignment horizontal="right"/>
    </xf>
    <xf numFmtId="0" fontId="17" fillId="0" borderId="16" xfId="24" quotePrefix="1" applyFont="1" applyBorder="1" applyAlignment="1">
      <alignment horizontal="center"/>
    </xf>
    <xf numFmtId="1" fontId="17" fillId="0" borderId="17" xfId="24" applyNumberFormat="1" applyFont="1" applyBorder="1" applyProtection="1">
      <protection locked="0"/>
    </xf>
    <xf numFmtId="0" fontId="17" fillId="0" borderId="13" xfId="24" applyFont="1" applyBorder="1" applyAlignment="1">
      <alignment horizontal="right"/>
    </xf>
    <xf numFmtId="2" fontId="0" fillId="0" borderId="13" xfId="15" applyFont="1" applyFill="1" applyBorder="1" applyProtection="1">
      <protection locked="0"/>
    </xf>
    <xf numFmtId="2" fontId="1" fillId="0" borderId="20" xfId="15" applyFill="1" applyBorder="1" applyAlignment="1" applyProtection="1"/>
    <xf numFmtId="1" fontId="17" fillId="0" borderId="21" xfId="24" applyNumberFormat="1" applyFont="1" applyBorder="1" applyAlignment="1">
      <alignment horizontal="right"/>
    </xf>
    <xf numFmtId="0" fontId="17" fillId="0" borderId="15" xfId="24" applyFont="1" applyBorder="1" applyProtection="1">
      <protection locked="0"/>
    </xf>
    <xf numFmtId="0" fontId="17" fillId="0" borderId="17" xfId="24" applyFont="1" applyBorder="1" applyProtection="1">
      <protection locked="0"/>
    </xf>
    <xf numFmtId="2" fontId="1" fillId="0" borderId="23" xfId="19" applyFill="1" applyBorder="1"/>
    <xf numFmtId="2" fontId="1" fillId="0" borderId="24" xfId="19" applyFill="1" applyBorder="1"/>
    <xf numFmtId="2" fontId="1" fillId="0" borderId="24" xfId="14" applyFill="1" applyBorder="1"/>
    <xf numFmtId="2" fontId="1" fillId="0" borderId="25" xfId="14" applyFill="1" applyBorder="1"/>
    <xf numFmtId="1" fontId="18" fillId="0" borderId="7" xfId="24" applyNumberFormat="1" applyFont="1" applyBorder="1"/>
    <xf numFmtId="0" fontId="17" fillId="0" borderId="7" xfId="20" applyFont="1" applyBorder="1"/>
    <xf numFmtId="1" fontId="18" fillId="0" borderId="20" xfId="24" applyNumberFormat="1" applyFont="1" applyBorder="1"/>
    <xf numFmtId="1" fontId="18" fillId="0" borderId="23" xfId="24" applyNumberFormat="1" applyFont="1" applyBorder="1"/>
    <xf numFmtId="1" fontId="18" fillId="0" borderId="25" xfId="24" applyNumberFormat="1" applyFont="1" applyBorder="1"/>
    <xf numFmtId="0" fontId="18" fillId="0" borderId="20" xfId="24" applyFont="1" applyBorder="1"/>
    <xf numFmtId="0" fontId="18" fillId="0" borderId="20" xfId="24" applyFont="1" applyBorder="1" applyAlignment="1">
      <alignment horizontal="right"/>
    </xf>
    <xf numFmtId="0" fontId="18" fillId="0" borderId="21" xfId="24" applyFont="1" applyBorder="1"/>
    <xf numFmtId="0" fontId="18" fillId="0" borderId="14" xfId="24" applyFont="1" applyBorder="1"/>
    <xf numFmtId="0" fontId="18" fillId="0" borderId="18" xfId="24" applyFont="1" applyBorder="1" applyAlignment="1">
      <alignment horizontal="right"/>
    </xf>
    <xf numFmtId="0" fontId="18" fillId="0" borderId="26" xfId="24" applyFont="1" applyBorder="1"/>
    <xf numFmtId="0" fontId="18" fillId="0" borderId="22" xfId="24" applyFont="1" applyBorder="1"/>
    <xf numFmtId="0" fontId="18" fillId="0" borderId="16" xfId="24" applyFont="1" applyBorder="1"/>
    <xf numFmtId="0" fontId="18" fillId="0" borderId="19" xfId="24" applyFont="1" applyBorder="1" applyAlignment="1">
      <alignment horizontal="right"/>
    </xf>
    <xf numFmtId="0" fontId="18" fillId="0" borderId="27" xfId="24" applyFont="1" applyBorder="1"/>
    <xf numFmtId="0" fontId="14" fillId="0" borderId="0" xfId="24" applyAlignment="1">
      <alignment wrapText="1"/>
    </xf>
    <xf numFmtId="0" fontId="14" fillId="0" borderId="0" xfId="24" applyAlignment="1">
      <alignment horizontal="left" wrapText="1"/>
    </xf>
    <xf numFmtId="0" fontId="1" fillId="0" borderId="0" xfId="20"/>
    <xf numFmtId="0" fontId="0" fillId="0" borderId="0" xfId="20" applyFont="1" applyAlignment="1">
      <alignment wrapText="1"/>
    </xf>
    <xf numFmtId="0" fontId="17" fillId="13" borderId="0" xfId="24" applyFont="1" applyFill="1" applyAlignment="1">
      <alignment horizontal="left" vertical="top" wrapText="1"/>
    </xf>
    <xf numFmtId="0" fontId="24" fillId="0" borderId="0" xfId="20" applyFont="1" applyAlignment="1">
      <alignment wrapText="1"/>
    </xf>
    <xf numFmtId="2" fontId="0" fillId="0" borderId="7" xfId="21" applyFont="1" applyFill="1" applyAlignment="1">
      <alignment horizontal="left"/>
    </xf>
    <xf numFmtId="2" fontId="1" fillId="0" borderId="7" xfId="21" applyFill="1" applyAlignment="1">
      <alignment horizontal="left"/>
    </xf>
  </cellXfs>
  <cellStyles count="26">
    <cellStyle name="Bad" xfId="3" builtinId="27" hidden="1"/>
    <cellStyle name="Calculated" xfId="15" xr:uid="{00000000-0005-0000-0000-000001000000}"/>
    <cellStyle name="Calculated 2" xfId="22" xr:uid="{BE93AA32-FF9C-4659-A881-7F2A4DF9586F}"/>
    <cellStyle name="Calculation" xfId="7" builtinId="22" hidden="1"/>
    <cellStyle name="Check Cell" xfId="9" builtinId="23" hidden="1"/>
    <cellStyle name="Default" xfId="16" xr:uid="{00000000-0005-0000-0000-000004000000}"/>
    <cellStyle name="Default 2" xfId="23" xr:uid="{590F588B-1BC2-42C4-BC05-CF8A95A682D0}"/>
    <cellStyle name="Explanatory Text" xfId="12" builtinId="53" hidden="1"/>
    <cellStyle name="Good" xfId="2" builtinId="26" hidden="1"/>
    <cellStyle name="Input" xfId="5" builtinId="20" hidden="1"/>
    <cellStyle name="Input" xfId="14" xr:uid="{00000000-0005-0000-0000-000008000000}"/>
    <cellStyle name="Input 2" xfId="25" xr:uid="{9AF4C862-1BE5-43A0-BA1A-EB966ACE5DD7}"/>
    <cellStyle name="Input 3" xfId="21" xr:uid="{7D7B622E-BD6B-47EE-B2ED-CA65492254D5}"/>
    <cellStyle name="Linked Cell" xfId="8" builtinId="24" hidden="1"/>
    <cellStyle name="Neutral" xfId="4" builtinId="28" hidden="1"/>
    <cellStyle name="Normal" xfId="0" builtinId="0" customBuiltin="1"/>
    <cellStyle name="Normal 2" xfId="24" xr:uid="{EDD4BD36-610C-4F55-91B6-B37AA653ABA8}"/>
    <cellStyle name="Normal 3" xfId="20" xr:uid="{0B49590C-4EA4-49D6-BDAC-B81CDB49C8B7}"/>
    <cellStyle name="Note" xfId="11" builtinId="10" hidden="1"/>
    <cellStyle name="Output" xfId="6" builtinId="21" hidden="1"/>
    <cellStyle name="reference" xfId="19" xr:uid="{4E682404-2BAC-4495-AD37-EF16D9AB7EB6}"/>
    <cellStyle name="Standaard 2" xfId="18" xr:uid="{AD2EBBEA-1670-4819-8420-E343ACFDC13D}"/>
    <cellStyle name="Standaard 3" xfId="17" xr:uid="{BF778708-CC51-4ED8-9A28-74BC80DA5502}"/>
    <cellStyle name="Title" xfId="1" builtinId="15" hidden="1"/>
    <cellStyle name="Total" xfId="13" builtinId="25" hidden="1"/>
    <cellStyle name="Warning Text" xfId="10" builtinId="11" hidden="1"/>
  </cellStyles>
  <dxfs count="0"/>
  <tableStyles count="0" defaultTableStyle="TableStyleMedium2" defaultPivotStyle="PivotStyleLight16"/>
  <colors>
    <mruColors>
      <color rgb="FFC17188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DFA7E-4DC2-433A-BDB3-3D54EB933614}">
  <sheetPr codeName="Sheet2"/>
  <dimension ref="A1:AB105"/>
  <sheetViews>
    <sheetView showGridLines="0" tabSelected="1" zoomScaleNormal="100" zoomScaleSheetLayoutView="85" zoomScalePageLayoutView="70" workbookViewId="0">
      <selection activeCell="F12" sqref="F12"/>
    </sheetView>
  </sheetViews>
  <sheetFormatPr defaultColWidth="9.109375" defaultRowHeight="14.4" x14ac:dyDescent="0.3"/>
  <cols>
    <col min="1" max="1" width="10.44140625" style="1" customWidth="1"/>
    <col min="2" max="2" width="21.109375" style="1" customWidth="1"/>
    <col min="3" max="3" width="14.44140625" style="1" customWidth="1"/>
    <col min="4" max="4" width="11.88671875" style="1" customWidth="1"/>
    <col min="5" max="5" width="11.6640625" style="1" customWidth="1"/>
    <col min="6" max="13" width="10.6640625" style="1" customWidth="1"/>
    <col min="14" max="16384" width="9.109375" style="1"/>
  </cols>
  <sheetData>
    <row r="1" spans="1:28" ht="15.6" x14ac:dyDescent="0.3">
      <c r="A1" s="2" t="s">
        <v>13</v>
      </c>
      <c r="B1" s="16">
        <v>25.1142</v>
      </c>
      <c r="J1" s="80" t="s">
        <v>83</v>
      </c>
      <c r="K1" s="81"/>
      <c r="L1" s="81"/>
      <c r="M1" s="82"/>
      <c r="N1" s="76">
        <f>1361559310000/10^9</f>
        <v>1361.5593100000001</v>
      </c>
      <c r="O1" s="83" t="s">
        <v>34</v>
      </c>
      <c r="P1" s="21"/>
      <c r="Q1" s="21"/>
      <c r="R1" s="23"/>
      <c r="S1" s="21"/>
      <c r="T1" s="21"/>
      <c r="U1" s="21"/>
      <c r="V1" s="21"/>
      <c r="W1" s="21"/>
      <c r="X1" s="5"/>
      <c r="Y1" s="5"/>
      <c r="Z1" s="5"/>
      <c r="AA1" s="5"/>
      <c r="AB1" s="5"/>
    </row>
    <row r="2" spans="1:28" ht="15.75" customHeight="1" thickBot="1" x14ac:dyDescent="0.35">
      <c r="A2" s="2" t="s">
        <v>64</v>
      </c>
      <c r="B2" s="4" t="s">
        <v>63</v>
      </c>
      <c r="J2" s="84" t="s">
        <v>61</v>
      </c>
      <c r="K2" s="85"/>
      <c r="L2" s="85"/>
      <c r="M2" s="86"/>
      <c r="N2" s="77">
        <f>((180560823000)+(85250693100))/10^9</f>
        <v>265.81151610000001</v>
      </c>
      <c r="O2" s="87" t="s">
        <v>34</v>
      </c>
      <c r="P2" s="21"/>
      <c r="Q2" s="21"/>
      <c r="R2" s="5"/>
      <c r="S2" s="21"/>
      <c r="T2" s="21"/>
      <c r="U2" s="21"/>
      <c r="V2" s="21"/>
      <c r="W2" s="21"/>
      <c r="X2" s="5"/>
      <c r="Y2" s="5"/>
      <c r="Z2" s="5"/>
      <c r="AA2" s="5"/>
      <c r="AB2" s="5"/>
    </row>
    <row r="3" spans="1:28" ht="15.6" x14ac:dyDescent="0.3">
      <c r="A3" s="2" t="s">
        <v>17</v>
      </c>
      <c r="B3" s="3" t="s">
        <v>35</v>
      </c>
      <c r="J3" s="78"/>
      <c r="K3" s="78"/>
      <c r="L3" s="78"/>
      <c r="M3" s="79"/>
      <c r="N3" s="75"/>
      <c r="O3" s="78"/>
      <c r="P3" s="24"/>
      <c r="Q3" s="21"/>
      <c r="R3" s="88"/>
      <c r="S3" s="88"/>
      <c r="T3" s="88"/>
      <c r="U3" s="88"/>
      <c r="V3" s="88"/>
      <c r="W3" s="88"/>
      <c r="X3" s="5"/>
      <c r="Y3" s="5"/>
      <c r="Z3" s="5"/>
      <c r="AA3" s="5"/>
      <c r="AB3" s="5"/>
    </row>
    <row r="4" spans="1:28" ht="30.75" customHeight="1" x14ac:dyDescent="0.3">
      <c r="A4" s="2" t="s">
        <v>52</v>
      </c>
      <c r="B4" s="91" t="s">
        <v>36</v>
      </c>
      <c r="C4" s="91"/>
      <c r="D4" s="91"/>
      <c r="E4" s="91"/>
      <c r="J4" s="30"/>
      <c r="K4" s="30"/>
      <c r="L4" s="30"/>
      <c r="M4" s="32"/>
      <c r="N4" s="73"/>
      <c r="O4" s="30"/>
      <c r="P4" s="24"/>
      <c r="Q4" s="21"/>
      <c r="R4" s="88"/>
      <c r="S4" s="88"/>
      <c r="T4" s="88"/>
      <c r="U4" s="88"/>
      <c r="V4" s="88"/>
      <c r="W4" s="88"/>
      <c r="X4" s="5"/>
      <c r="Y4" s="5"/>
      <c r="Z4" s="5"/>
      <c r="AA4" s="5"/>
      <c r="AB4" s="5"/>
    </row>
    <row r="5" spans="1:28" ht="25.8" x14ac:dyDescent="0.5">
      <c r="A5" s="2" t="s">
        <v>53</v>
      </c>
      <c r="B5" s="4">
        <v>2023</v>
      </c>
      <c r="C5" s="13"/>
      <c r="J5" s="32"/>
      <c r="K5" s="32"/>
      <c r="L5" s="32"/>
      <c r="M5" s="32"/>
      <c r="N5" s="74"/>
      <c r="O5" s="32"/>
      <c r="P5" s="24"/>
      <c r="Q5" s="21"/>
      <c r="R5" s="89"/>
      <c r="S5" s="89"/>
      <c r="T5" s="89"/>
      <c r="U5" s="89"/>
      <c r="V5" s="89"/>
      <c r="W5" s="89"/>
      <c r="X5" s="5"/>
      <c r="Y5" s="5"/>
      <c r="Z5" s="5"/>
      <c r="AA5" s="5"/>
      <c r="AB5" s="5"/>
    </row>
    <row r="6" spans="1:28" ht="15.6" x14ac:dyDescent="0.3">
      <c r="J6" s="30" t="s">
        <v>57</v>
      </c>
      <c r="K6" s="30"/>
      <c r="L6" s="30"/>
      <c r="M6" s="33"/>
      <c r="N6" s="73">
        <v>0</v>
      </c>
      <c r="O6" s="30" t="s">
        <v>34</v>
      </c>
      <c r="P6" s="24"/>
      <c r="Q6" s="21"/>
      <c r="R6" s="89"/>
      <c r="S6" s="89"/>
      <c r="T6" s="89"/>
      <c r="U6" s="89"/>
      <c r="V6" s="89"/>
      <c r="W6" s="89"/>
      <c r="X6" s="5"/>
      <c r="Y6" s="5"/>
      <c r="Z6" s="5"/>
      <c r="AA6" s="5"/>
      <c r="AB6" s="5"/>
    </row>
    <row r="7" spans="1:28" ht="15.6" x14ac:dyDescent="0.3">
      <c r="A7" s="2" t="s">
        <v>0</v>
      </c>
      <c r="J7" s="30" t="s">
        <v>31</v>
      </c>
      <c r="K7" s="30"/>
      <c r="L7" s="30"/>
      <c r="M7" s="31"/>
      <c r="N7" s="73">
        <f>SUM(N1:N6)</f>
        <v>1627.3708261000002</v>
      </c>
      <c r="O7" s="30" t="s">
        <v>34</v>
      </c>
      <c r="P7" s="24"/>
      <c r="Q7" s="21"/>
      <c r="R7" s="21"/>
      <c r="S7" s="21"/>
      <c r="T7" s="21"/>
      <c r="U7" s="21"/>
      <c r="V7" s="21"/>
      <c r="W7" s="21"/>
      <c r="X7" s="5"/>
      <c r="Y7" s="5"/>
      <c r="Z7" s="5"/>
      <c r="AA7" s="5"/>
      <c r="AB7" s="5"/>
    </row>
    <row r="8" spans="1:28" ht="15.6" x14ac:dyDescent="0.3">
      <c r="A8" s="1" t="s">
        <v>1</v>
      </c>
      <c r="C8" s="34" t="s">
        <v>77</v>
      </c>
      <c r="J8" s="30" t="s">
        <v>84</v>
      </c>
      <c r="K8" s="30"/>
      <c r="L8" s="30"/>
      <c r="M8" s="31"/>
      <c r="N8" s="73">
        <v>42.45</v>
      </c>
      <c r="O8" s="30" t="s">
        <v>34</v>
      </c>
      <c r="P8" s="24"/>
      <c r="Q8" s="21"/>
      <c r="R8" s="21"/>
      <c r="S8" s="21"/>
      <c r="T8" s="21"/>
      <c r="U8" s="21"/>
      <c r="V8" s="21"/>
      <c r="W8" s="21"/>
      <c r="X8" s="5"/>
      <c r="Y8" s="5"/>
      <c r="Z8" s="5"/>
      <c r="AA8" s="5"/>
      <c r="AB8" s="5"/>
    </row>
    <row r="9" spans="1:28" ht="15.6" x14ac:dyDescent="0.3">
      <c r="A9" s="1" t="s">
        <v>3</v>
      </c>
      <c r="C9" s="34" t="s">
        <v>82</v>
      </c>
      <c r="J9" s="21"/>
      <c r="K9" s="21"/>
      <c r="L9" s="21"/>
      <c r="M9" s="21"/>
      <c r="N9" s="21"/>
      <c r="O9" s="21"/>
      <c r="P9" s="24"/>
      <c r="Q9" s="21"/>
      <c r="R9" s="21"/>
      <c r="S9" s="21"/>
      <c r="T9" s="21"/>
      <c r="U9" s="21"/>
      <c r="V9" s="21"/>
      <c r="W9" s="21"/>
      <c r="X9" s="5"/>
      <c r="Y9" s="5"/>
      <c r="Z9" s="14"/>
      <c r="AA9" s="15"/>
      <c r="AB9" s="5"/>
    </row>
    <row r="10" spans="1:28" ht="15.6" x14ac:dyDescent="0.3">
      <c r="J10" s="21"/>
      <c r="K10" s="21"/>
      <c r="L10" s="21"/>
      <c r="M10" s="21"/>
      <c r="N10" s="21"/>
      <c r="O10" s="21"/>
      <c r="P10" s="24"/>
      <c r="Q10" s="21"/>
      <c r="R10" s="21"/>
      <c r="S10" s="21"/>
      <c r="T10" s="21"/>
      <c r="U10" s="21"/>
      <c r="V10" s="21"/>
      <c r="W10" s="21"/>
      <c r="X10" s="5"/>
      <c r="Y10" s="5"/>
      <c r="Z10" s="14"/>
      <c r="AA10" s="15"/>
      <c r="AB10" s="5"/>
    </row>
    <row r="11" spans="1:28" ht="15.6" x14ac:dyDescent="0.3">
      <c r="A11" s="2" t="s">
        <v>4</v>
      </c>
      <c r="J11" s="21" t="s">
        <v>12</v>
      </c>
      <c r="K11" s="21"/>
      <c r="L11" s="21"/>
      <c r="M11" s="21"/>
      <c r="N11" s="21"/>
      <c r="O11" s="21"/>
      <c r="P11" s="26"/>
      <c r="Q11" s="21"/>
      <c r="R11" s="21"/>
      <c r="S11" s="21"/>
      <c r="T11" s="21"/>
      <c r="U11" s="21"/>
      <c r="V11" s="21"/>
      <c r="W11" s="21"/>
    </row>
    <row r="12" spans="1:28" ht="15.6" x14ac:dyDescent="0.3">
      <c r="A12" s="1" t="s">
        <v>5</v>
      </c>
      <c r="C12" s="34" t="s">
        <v>78</v>
      </c>
      <c r="J12" s="21"/>
      <c r="K12" s="21"/>
      <c r="L12" s="21"/>
      <c r="M12" s="21"/>
      <c r="N12" s="21"/>
      <c r="O12" s="21"/>
      <c r="P12" s="24"/>
      <c r="Q12" s="5"/>
      <c r="R12" s="5"/>
      <c r="S12" s="5"/>
      <c r="T12" s="5"/>
      <c r="U12" s="5"/>
      <c r="V12" s="5"/>
      <c r="W12" s="21"/>
    </row>
    <row r="13" spans="1:28" ht="15.6" x14ac:dyDescent="0.3">
      <c r="A13" s="1" t="s">
        <v>2</v>
      </c>
      <c r="C13" s="34" t="s">
        <v>75</v>
      </c>
      <c r="J13" s="28"/>
      <c r="K13" s="21"/>
      <c r="L13" s="21"/>
      <c r="M13" s="21"/>
      <c r="N13" s="22"/>
      <c r="O13" s="22"/>
      <c r="P13" s="21"/>
      <c r="Q13" s="21"/>
      <c r="R13" s="21"/>
      <c r="S13" s="21"/>
      <c r="T13" s="5"/>
      <c r="U13" s="23"/>
      <c r="V13" s="5"/>
      <c r="W13" s="5"/>
    </row>
    <row r="14" spans="1:28" ht="15.6" x14ac:dyDescent="0.3">
      <c r="A14" s="1" t="s">
        <v>14</v>
      </c>
      <c r="C14" s="34" t="s">
        <v>76</v>
      </c>
      <c r="J14" s="28"/>
      <c r="K14" s="21"/>
      <c r="L14" s="21"/>
      <c r="M14" s="21"/>
      <c r="N14" s="22"/>
      <c r="O14" s="21"/>
      <c r="P14" s="21"/>
      <c r="Q14" s="21"/>
      <c r="R14" s="21"/>
      <c r="S14" s="21"/>
      <c r="T14" s="5"/>
      <c r="U14" s="5"/>
      <c r="V14" s="5"/>
      <c r="W14" s="5"/>
    </row>
    <row r="15" spans="1:28" ht="15.75" customHeight="1" x14ac:dyDescent="0.3">
      <c r="A15" s="1" t="s">
        <v>6</v>
      </c>
      <c r="C15" s="34" t="s">
        <v>82</v>
      </c>
      <c r="J15" s="28"/>
      <c r="K15" s="22"/>
      <c r="L15" s="22"/>
      <c r="M15" s="21"/>
      <c r="N15" s="22"/>
      <c r="O15" s="22"/>
      <c r="Q15" s="21"/>
      <c r="R15" s="21"/>
      <c r="S15" s="21"/>
      <c r="T15" s="21"/>
      <c r="U15" s="15"/>
      <c r="V15" s="5"/>
      <c r="W15" s="29"/>
    </row>
    <row r="16" spans="1:28" ht="15.6" x14ac:dyDescent="0.3">
      <c r="A16" s="3" t="s">
        <v>49</v>
      </c>
      <c r="C16" s="35" t="s">
        <v>62</v>
      </c>
      <c r="J16" s="28"/>
      <c r="K16" s="21"/>
      <c r="L16" s="21"/>
      <c r="M16" s="21"/>
      <c r="N16" s="22"/>
      <c r="O16" s="22"/>
      <c r="Q16" s="21"/>
      <c r="R16" s="27"/>
      <c r="S16" s="27"/>
      <c r="T16" s="5"/>
      <c r="U16" s="5"/>
      <c r="V16" s="5"/>
      <c r="W16" s="5"/>
    </row>
    <row r="17" spans="1:23" ht="15.6" x14ac:dyDescent="0.3">
      <c r="J17" s="21"/>
      <c r="K17" s="21"/>
      <c r="L17" s="21"/>
      <c r="M17" s="21"/>
      <c r="N17" s="21"/>
      <c r="O17" s="21"/>
      <c r="Q17" s="21"/>
      <c r="R17" s="21"/>
      <c r="S17" s="21"/>
      <c r="T17" s="21"/>
      <c r="U17" s="21"/>
      <c r="V17" s="21"/>
      <c r="W17" s="5"/>
    </row>
    <row r="18" spans="1:23" ht="14.4" customHeight="1" x14ac:dyDescent="0.3">
      <c r="A18" s="2" t="s">
        <v>16</v>
      </c>
      <c r="J18" s="21"/>
      <c r="K18" s="21"/>
      <c r="L18" s="21"/>
      <c r="M18" s="21"/>
      <c r="N18" s="21"/>
      <c r="O18" s="21"/>
      <c r="Q18" s="22"/>
      <c r="R18" s="21"/>
      <c r="S18" s="21"/>
      <c r="T18" s="21"/>
      <c r="U18" s="21"/>
      <c r="V18" s="21"/>
      <c r="W18" s="21"/>
    </row>
    <row r="19" spans="1:23" ht="14.4" customHeight="1" x14ac:dyDescent="0.3">
      <c r="A19" s="1" t="s">
        <v>15</v>
      </c>
      <c r="C19" s="94" t="s">
        <v>79</v>
      </c>
      <c r="D19" s="94"/>
      <c r="E19" s="94"/>
      <c r="J19" s="21"/>
      <c r="Q19" s="22"/>
      <c r="R19" s="21"/>
      <c r="S19" s="21"/>
      <c r="T19" s="21"/>
      <c r="U19" s="21"/>
      <c r="V19" s="21"/>
      <c r="W19" s="21"/>
    </row>
    <row r="20" spans="1:23" ht="14.4" customHeight="1" x14ac:dyDescent="0.3">
      <c r="A20" s="1" t="s">
        <v>10</v>
      </c>
      <c r="C20" s="94" t="s">
        <v>80</v>
      </c>
      <c r="D20" s="95"/>
      <c r="E20" s="95"/>
      <c r="J20" s="21"/>
      <c r="L20" s="21"/>
      <c r="M20" s="21"/>
      <c r="N20" s="21"/>
      <c r="O20" s="21"/>
      <c r="Q20" s="22"/>
      <c r="R20" s="21"/>
      <c r="S20" s="21"/>
      <c r="T20" s="21"/>
      <c r="U20" s="21"/>
      <c r="V20" s="21"/>
      <c r="W20" s="21"/>
    </row>
    <row r="21" spans="1:23" ht="14.4" customHeight="1" x14ac:dyDescent="0.3">
      <c r="A21" s="3" t="s">
        <v>69</v>
      </c>
      <c r="C21" s="94" t="s">
        <v>81</v>
      </c>
      <c r="D21" s="95"/>
      <c r="E21" s="95"/>
      <c r="J21" s="3"/>
      <c r="K21" s="25"/>
      <c r="L21" s="21"/>
      <c r="M21" s="21"/>
      <c r="N21" s="21"/>
      <c r="O21" s="21"/>
      <c r="Q21" s="22"/>
      <c r="R21" s="21"/>
      <c r="S21" s="21"/>
      <c r="T21" s="21"/>
      <c r="U21" s="21"/>
      <c r="V21" s="21"/>
      <c r="W21" s="21"/>
    </row>
    <row r="22" spans="1:23" ht="14.4" customHeight="1" x14ac:dyDescent="0.3">
      <c r="J22" s="21"/>
      <c r="K22" s="21"/>
      <c r="L22" s="21"/>
      <c r="M22" s="21"/>
      <c r="N22" s="21"/>
      <c r="O22" s="21"/>
      <c r="P22" s="21"/>
      <c r="Q22" s="22"/>
      <c r="R22" s="21"/>
      <c r="S22" s="21"/>
      <c r="T22" s="21"/>
      <c r="U22" s="21"/>
      <c r="V22" s="21"/>
      <c r="W22" s="21"/>
    </row>
    <row r="23" spans="1:23" ht="14.4" customHeight="1" x14ac:dyDescent="0.3">
      <c r="J23" s="2"/>
    </row>
    <row r="24" spans="1:23" ht="14.4" customHeight="1" thickBot="1" x14ac:dyDescent="0.35">
      <c r="A24" s="2" t="s">
        <v>7</v>
      </c>
      <c r="J24" s="3"/>
      <c r="P24" s="17"/>
    </row>
    <row r="25" spans="1:23" ht="14.4" customHeight="1" x14ac:dyDescent="0.3">
      <c r="A25" t="s">
        <v>8</v>
      </c>
      <c r="B25"/>
      <c r="E25" s="3" t="s">
        <v>65</v>
      </c>
      <c r="G25" s="69">
        <v>36.25</v>
      </c>
      <c r="H25" t="s">
        <v>9</v>
      </c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1:23" ht="14.4" customHeight="1" x14ac:dyDescent="0.3">
      <c r="A26" t="s">
        <v>73</v>
      </c>
      <c r="B26"/>
      <c r="E26" s="3" t="s">
        <v>66</v>
      </c>
      <c r="G26" s="70">
        <v>33.9</v>
      </c>
      <c r="H26" t="s">
        <v>9</v>
      </c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</row>
    <row r="27" spans="1:23" ht="14.4" customHeight="1" x14ac:dyDescent="0.3">
      <c r="A27" t="s">
        <v>33</v>
      </c>
      <c r="B27"/>
      <c r="E27" s="3" t="s">
        <v>67</v>
      </c>
      <c r="G27" s="70">
        <v>9.6</v>
      </c>
      <c r="H27" t="s">
        <v>9</v>
      </c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1:23" ht="14.4" customHeight="1" x14ac:dyDescent="0.3">
      <c r="A28" t="s">
        <v>72</v>
      </c>
      <c r="B28"/>
      <c r="E28" s="3" t="s">
        <v>18</v>
      </c>
      <c r="G28" s="71">
        <v>4.2869999999999999</v>
      </c>
      <c r="H28" t="s">
        <v>9</v>
      </c>
      <c r="J28" s="17"/>
      <c r="K28" s="17"/>
      <c r="L28" s="17"/>
      <c r="M28" s="17"/>
      <c r="N28" s="17"/>
      <c r="O28" s="17"/>
      <c r="P28" s="20"/>
      <c r="Q28" s="17"/>
      <c r="R28" s="17"/>
      <c r="S28" s="17"/>
      <c r="T28" s="17"/>
      <c r="U28" s="17"/>
      <c r="V28" s="17"/>
      <c r="W28" s="17"/>
    </row>
    <row r="29" spans="1:23" ht="14.4" customHeight="1" thickBot="1" x14ac:dyDescent="0.35">
      <c r="A29" t="s">
        <v>71</v>
      </c>
      <c r="B29"/>
      <c r="E29" s="3" t="s">
        <v>68</v>
      </c>
      <c r="G29" s="72">
        <v>2.9</v>
      </c>
      <c r="H29" t="s">
        <v>9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ht="14.4" customHeight="1" x14ac:dyDescent="0.3">
      <c r="A30"/>
      <c r="B30"/>
      <c r="C30"/>
      <c r="D30"/>
      <c r="E3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ht="14.4" customHeight="1" x14ac:dyDescent="0.3">
      <c r="E31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ht="14.4" customHeight="1" thickBot="1" x14ac:dyDescent="0.35">
      <c r="A32" s="2" t="s">
        <v>70</v>
      </c>
      <c r="I32" s="6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ht="14.4" customHeight="1" x14ac:dyDescent="0.3">
      <c r="A33" s="12" t="s">
        <v>60</v>
      </c>
      <c r="B33" s="12"/>
      <c r="C33" s="12"/>
      <c r="E33" s="57" t="s">
        <v>19</v>
      </c>
      <c r="F33" s="58" t="s">
        <v>21</v>
      </c>
      <c r="G33" s="59">
        <f>N7</f>
        <v>1627.3708261000002</v>
      </c>
      <c r="H33" s="38" t="s">
        <v>37</v>
      </c>
      <c r="I33" s="6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ht="14.4" customHeight="1" thickBot="1" x14ac:dyDescent="0.4">
      <c r="A34" s="12" t="s">
        <v>59</v>
      </c>
      <c r="B34" s="12"/>
      <c r="C34" s="12"/>
      <c r="E34" s="60" t="s">
        <v>38</v>
      </c>
      <c r="F34" s="61" t="s">
        <v>21</v>
      </c>
      <c r="G34" s="62">
        <f>N8</f>
        <v>42.45</v>
      </c>
      <c r="H34" s="38" t="s">
        <v>37</v>
      </c>
      <c r="I34" s="6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14.4" customHeight="1" x14ac:dyDescent="0.3">
      <c r="A35" s="12" t="s">
        <v>30</v>
      </c>
      <c r="B35" s="12"/>
      <c r="C35" s="12"/>
      <c r="D35" s="39"/>
      <c r="E35" s="54" t="s">
        <v>18</v>
      </c>
      <c r="F35" s="55" t="s">
        <v>21</v>
      </c>
      <c r="G35" s="56">
        <f>D</f>
        <v>4.2869999999999999</v>
      </c>
      <c r="H35" s="38" t="s">
        <v>9</v>
      </c>
      <c r="I35" s="6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14.4" customHeight="1" thickBot="1" x14ac:dyDescent="0.35">
      <c r="A36" s="12" t="s">
        <v>29</v>
      </c>
      <c r="B36" s="12"/>
      <c r="C36" s="12"/>
      <c r="D36" s="39"/>
      <c r="E36" s="63" t="s">
        <v>28</v>
      </c>
      <c r="F36" s="44" t="s">
        <v>21</v>
      </c>
      <c r="G36" s="64">
        <f>dr</f>
        <v>2.9</v>
      </c>
      <c r="H36" s="38" t="s">
        <v>9</v>
      </c>
      <c r="I36" s="6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14.4" customHeight="1" x14ac:dyDescent="0.35">
      <c r="A37" s="92" t="s">
        <v>74</v>
      </c>
      <c r="B37" s="92"/>
      <c r="C37" s="92"/>
      <c r="D37" s="93" t="s">
        <v>58</v>
      </c>
      <c r="E37" s="66" t="s">
        <v>39</v>
      </c>
      <c r="F37" s="58" t="s">
        <v>21</v>
      </c>
      <c r="G37" s="67">
        <v>0</v>
      </c>
      <c r="H37" s="38" t="s">
        <v>11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14.4" customHeight="1" thickBot="1" x14ac:dyDescent="0.4">
      <c r="A38" s="12" t="s">
        <v>54</v>
      </c>
      <c r="B38" s="12"/>
      <c r="C38" s="12"/>
      <c r="D38" s="93"/>
      <c r="E38" s="60" t="s">
        <v>40</v>
      </c>
      <c r="F38" s="61" t="s">
        <v>21</v>
      </c>
      <c r="G38" s="68">
        <v>0</v>
      </c>
      <c r="H38" s="38" t="s">
        <v>11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14.4" customHeight="1" x14ac:dyDescent="0.35">
      <c r="A39" s="12" t="s">
        <v>42</v>
      </c>
      <c r="B39" s="6"/>
      <c r="C39" s="6"/>
      <c r="D39" s="40"/>
      <c r="E39" s="54" t="s">
        <v>41</v>
      </c>
      <c r="F39" s="55" t="s">
        <v>21</v>
      </c>
      <c r="G39" s="65">
        <f>0.2+0.02*LOG10(G33)</f>
        <v>0.26422973052252025</v>
      </c>
      <c r="H39" s="38" t="s">
        <v>11</v>
      </c>
      <c r="J39" s="20"/>
      <c r="K39" s="20"/>
      <c r="L39" s="20"/>
      <c r="M39" s="20"/>
      <c r="N39" s="20"/>
      <c r="O39" s="20"/>
      <c r="P39" s="18"/>
      <c r="Q39" s="20"/>
      <c r="R39" s="20"/>
      <c r="S39" s="20"/>
      <c r="T39" s="20"/>
      <c r="U39" s="20"/>
      <c r="V39" s="20"/>
      <c r="W39" s="20"/>
    </row>
    <row r="40" spans="1:23" ht="14.4" customHeight="1" x14ac:dyDescent="0.35">
      <c r="A40" s="12" t="s">
        <v>44</v>
      </c>
      <c r="B40" s="6"/>
      <c r="C40" s="7"/>
      <c r="D40" s="39"/>
      <c r="E40" s="36" t="s">
        <v>43</v>
      </c>
      <c r="F40" s="37" t="s">
        <v>21</v>
      </c>
      <c r="G40" s="41">
        <f>0.2+0.02*LOG10(G34)</f>
        <v>0.23255755389159943</v>
      </c>
      <c r="H40" s="38" t="s">
        <v>11</v>
      </c>
      <c r="J40" s="17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</row>
    <row r="41" spans="1:23" ht="14.4" customHeight="1" x14ac:dyDescent="0.35">
      <c r="A41" s="12" t="s">
        <v>46</v>
      </c>
      <c r="B41" s="6"/>
      <c r="C41" s="8"/>
      <c r="D41" s="42"/>
      <c r="E41" s="43" t="s">
        <v>45</v>
      </c>
      <c r="F41" s="44" t="s">
        <v>21</v>
      </c>
      <c r="G41" s="41">
        <f>1.25*(G46+10000)/10000</f>
        <v>1.3037499693550767</v>
      </c>
      <c r="H41" s="38" t="s">
        <v>11</v>
      </c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</row>
    <row r="42" spans="1:23" ht="14.4" customHeight="1" x14ac:dyDescent="0.3">
      <c r="A42" s="6" t="s">
        <v>27</v>
      </c>
      <c r="B42" s="6"/>
      <c r="C42" s="10"/>
      <c r="D42" s="45" t="s">
        <v>47</v>
      </c>
      <c r="E42" s="46"/>
      <c r="F42" s="44" t="s">
        <v>21</v>
      </c>
      <c r="G42" s="47">
        <f>MIN(((4*G36)/(3*G35))^2,1)</f>
        <v>0.81351675500209564</v>
      </c>
      <c r="H42" s="38" t="s">
        <v>11</v>
      </c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</row>
    <row r="43" spans="1:23" ht="14.4" customHeight="1" x14ac:dyDescent="0.35">
      <c r="A43" s="6" t="s">
        <v>26</v>
      </c>
      <c r="B43" s="9"/>
      <c r="C43" s="10"/>
      <c r="D43" s="48" t="s">
        <v>55</v>
      </c>
      <c r="E43" s="42"/>
      <c r="F43" s="49" t="s">
        <v>21</v>
      </c>
      <c r="G43" s="50">
        <f>MAX(K_2*Vc*G42,0.25*GT)</f>
        <v>107.49993871015354</v>
      </c>
      <c r="H43" s="38" t="s">
        <v>11</v>
      </c>
      <c r="J43" s="18"/>
      <c r="K43" s="18"/>
      <c r="L43" s="18"/>
      <c r="M43" s="18"/>
      <c r="N43" s="18"/>
      <c r="O43" s="18"/>
      <c r="P43" s="17"/>
      <c r="Q43" s="18"/>
      <c r="R43" s="18"/>
      <c r="S43" s="18"/>
      <c r="T43" s="18"/>
      <c r="U43" s="18"/>
      <c r="V43" s="18"/>
      <c r="W43" s="18"/>
    </row>
    <row r="44" spans="1:23" ht="14.4" customHeight="1" x14ac:dyDescent="0.3"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</row>
    <row r="45" spans="1:23" ht="14.4" customHeight="1" x14ac:dyDescent="0.3">
      <c r="A45" s="2" t="s">
        <v>51</v>
      </c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</row>
    <row r="46" spans="1:23" ht="14.4" customHeight="1" x14ac:dyDescent="0.35">
      <c r="A46" s="6" t="s">
        <v>25</v>
      </c>
      <c r="B46" s="6"/>
      <c r="C46" s="6" t="s">
        <v>48</v>
      </c>
      <c r="D46" s="39"/>
      <c r="E46" s="51" t="s">
        <v>24</v>
      </c>
      <c r="F46" s="37" t="s">
        <v>21</v>
      </c>
      <c r="G46" s="52">
        <f>K_1*V</f>
        <v>429.99975484061417</v>
      </c>
      <c r="H46" s="3" t="s">
        <v>32</v>
      </c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spans="1:23" ht="14.4" customHeight="1" x14ac:dyDescent="0.35">
      <c r="A47" s="6" t="s">
        <v>23</v>
      </c>
      <c r="C47" s="6" t="s">
        <v>50</v>
      </c>
      <c r="D47" s="39"/>
      <c r="E47" s="36" t="s">
        <v>22</v>
      </c>
      <c r="F47" s="37" t="s">
        <v>21</v>
      </c>
      <c r="G47" s="53">
        <f>MAX(G43+K_3*(N_1+(N_2/10)),0.3*GT)</f>
        <v>128.99992645218424</v>
      </c>
      <c r="H47" s="3" t="s">
        <v>32</v>
      </c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</row>
    <row r="48" spans="1:23" ht="14.4" customHeight="1" x14ac:dyDescent="0.35">
      <c r="A48" s="6"/>
      <c r="C48" s="11" t="s">
        <v>56</v>
      </c>
      <c r="D48" s="38"/>
      <c r="E48" s="38"/>
      <c r="F48" s="38"/>
      <c r="G48" s="38"/>
      <c r="H48" s="38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</row>
    <row r="49" spans="3:23" ht="14.4" customHeight="1" x14ac:dyDescent="0.3">
      <c r="C49" s="6" t="s">
        <v>20</v>
      </c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</row>
    <row r="50" spans="3:23" ht="14.4" customHeight="1" x14ac:dyDescent="0.3"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</row>
    <row r="51" spans="3:23" ht="14.4" customHeight="1" x14ac:dyDescent="0.3"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</row>
    <row r="52" spans="3:23" ht="14.4" customHeight="1" x14ac:dyDescent="0.3"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</row>
    <row r="53" spans="3:23" ht="14.4" customHeight="1" x14ac:dyDescent="0.3"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</row>
    <row r="54" spans="3:23" ht="14.4" customHeight="1" x14ac:dyDescent="0.3"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</row>
    <row r="55" spans="3:23" ht="14.4" customHeight="1" x14ac:dyDescent="0.3"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</row>
    <row r="56" spans="3:23" ht="14.4" customHeight="1" x14ac:dyDescent="0.3"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</row>
    <row r="57" spans="3:23" ht="14.4" customHeight="1" x14ac:dyDescent="0.3"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</row>
    <row r="58" spans="3:23" ht="14.4" customHeight="1" x14ac:dyDescent="0.3"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</row>
    <row r="59" spans="3:23" ht="14.4" customHeight="1" x14ac:dyDescent="0.3"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</row>
    <row r="60" spans="3:23" ht="14.4" customHeight="1" x14ac:dyDescent="0.3"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</row>
    <row r="61" spans="3:23" ht="14.4" customHeight="1" x14ac:dyDescent="0.3"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</row>
    <row r="62" spans="3:23" ht="14.4" customHeight="1" x14ac:dyDescent="0.3">
      <c r="J62" s="17"/>
      <c r="K62" s="17"/>
      <c r="L62" s="17"/>
      <c r="M62" s="17"/>
      <c r="N62" s="17"/>
      <c r="O62" s="17"/>
      <c r="P62" s="19"/>
      <c r="Q62" s="17"/>
      <c r="R62" s="17"/>
      <c r="S62" s="17"/>
      <c r="T62" s="17"/>
      <c r="U62" s="17"/>
      <c r="V62" s="17"/>
      <c r="W62" s="17"/>
    </row>
    <row r="63" spans="3:23" ht="14.4" customHeight="1" x14ac:dyDescent="0.3"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</row>
    <row r="64" spans="3:23" ht="14.4" customHeight="1" x14ac:dyDescent="0.3"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</row>
    <row r="65" spans="2:23" x14ac:dyDescent="0.3">
      <c r="B65" s="90"/>
      <c r="C65" s="90"/>
      <c r="D65" s="90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spans="2:23" x14ac:dyDescent="0.3"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spans="2:23" x14ac:dyDescent="0.3"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</row>
    <row r="68" spans="2:23" ht="14.4" customHeight="1" x14ac:dyDescent="0.3"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</row>
    <row r="69" spans="2:23" x14ac:dyDescent="0.3"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</row>
    <row r="70" spans="2:23" x14ac:dyDescent="0.3"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</row>
    <row r="71" spans="2:23" x14ac:dyDescent="0.3"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</row>
    <row r="72" spans="2:23" x14ac:dyDescent="0.3"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</row>
    <row r="73" spans="2:23" x14ac:dyDescent="0.3"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</row>
    <row r="74" spans="2:23" x14ac:dyDescent="0.3">
      <c r="J74" s="19"/>
      <c r="K74" s="19"/>
      <c r="L74" s="19"/>
      <c r="M74" s="19"/>
      <c r="N74" s="19"/>
      <c r="O74" s="19"/>
      <c r="P74" s="18"/>
      <c r="Q74" s="19"/>
      <c r="R74" s="19"/>
      <c r="S74" s="19"/>
      <c r="T74" s="19"/>
      <c r="U74" s="19"/>
      <c r="V74" s="19"/>
      <c r="W74" s="19"/>
    </row>
    <row r="75" spans="2:23" x14ac:dyDescent="0.3">
      <c r="J75" s="17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</row>
    <row r="76" spans="2:23" x14ac:dyDescent="0.3"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</row>
    <row r="77" spans="2:23" x14ac:dyDescent="0.3"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</row>
    <row r="78" spans="2:23" x14ac:dyDescent="0.3">
      <c r="J78" s="18"/>
      <c r="K78" s="18"/>
      <c r="L78" s="18"/>
      <c r="M78" s="18"/>
      <c r="N78" s="18"/>
      <c r="O78" s="18"/>
      <c r="P78" s="17"/>
      <c r="Q78" s="18"/>
      <c r="R78" s="18"/>
      <c r="S78" s="18"/>
      <c r="T78" s="18"/>
      <c r="U78" s="18"/>
      <c r="V78" s="18"/>
      <c r="W78" s="18"/>
    </row>
    <row r="79" spans="2:23" x14ac:dyDescent="0.3"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</row>
    <row r="80" spans="2:23" x14ac:dyDescent="0.3"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</row>
    <row r="81" spans="10:23" x14ac:dyDescent="0.3"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</row>
    <row r="82" spans="10:23" x14ac:dyDescent="0.3">
      <c r="J82" s="17"/>
      <c r="K82" s="17"/>
      <c r="L82" s="17"/>
      <c r="M82" s="17"/>
      <c r="N82" s="17"/>
      <c r="O82" s="17"/>
      <c r="P82" s="18"/>
      <c r="Q82" s="17"/>
      <c r="R82" s="17"/>
      <c r="S82" s="17"/>
      <c r="T82" s="17"/>
      <c r="U82" s="17"/>
      <c r="V82" s="17"/>
      <c r="W82" s="17"/>
    </row>
    <row r="83" spans="10:23" x14ac:dyDescent="0.3">
      <c r="J83" s="17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</row>
    <row r="84" spans="10:23" ht="14.4" customHeight="1" x14ac:dyDescent="0.3">
      <c r="J84" s="18"/>
      <c r="K84" s="18"/>
      <c r="L84" s="18"/>
      <c r="M84" s="18"/>
      <c r="N84" s="18"/>
      <c r="O84" s="18"/>
      <c r="P84" s="17"/>
      <c r="Q84" s="18"/>
      <c r="R84" s="18"/>
      <c r="S84" s="18"/>
      <c r="T84" s="18"/>
      <c r="U84" s="18"/>
      <c r="V84" s="18"/>
      <c r="W84" s="18"/>
    </row>
    <row r="85" spans="10:23" x14ac:dyDescent="0.3"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</row>
    <row r="86" spans="10:23" x14ac:dyDescent="0.3"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</row>
    <row r="87" spans="10:23" x14ac:dyDescent="0.3">
      <c r="J87" s="17"/>
      <c r="K87" s="17"/>
      <c r="L87" s="17"/>
      <c r="M87" s="17"/>
      <c r="N87" s="17"/>
      <c r="O87" s="17"/>
      <c r="P87" s="18"/>
      <c r="Q87" s="17"/>
      <c r="R87" s="17"/>
      <c r="S87" s="17"/>
      <c r="T87" s="17"/>
      <c r="U87" s="17"/>
      <c r="V87" s="17"/>
      <c r="W87" s="17"/>
    </row>
    <row r="88" spans="10:23" x14ac:dyDescent="0.3">
      <c r="J88" s="17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</row>
    <row r="89" spans="10:23" x14ac:dyDescent="0.3"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</row>
    <row r="90" spans="10:23" ht="14.4" customHeight="1" x14ac:dyDescent="0.3"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</row>
    <row r="91" spans="10:23" x14ac:dyDescent="0.3">
      <c r="J91" s="17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</row>
    <row r="92" spans="10:23" x14ac:dyDescent="0.3"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</row>
    <row r="93" spans="10:23" x14ac:dyDescent="0.3">
      <c r="J93" s="17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</row>
    <row r="94" spans="10:23" x14ac:dyDescent="0.3">
      <c r="J94" s="18"/>
      <c r="K94" s="18"/>
      <c r="L94" s="18"/>
      <c r="M94" s="18"/>
      <c r="N94" s="18"/>
      <c r="O94" s="18"/>
      <c r="Q94" s="18"/>
      <c r="R94" s="18"/>
      <c r="S94" s="18"/>
      <c r="T94" s="18"/>
      <c r="U94" s="18"/>
      <c r="V94" s="18"/>
      <c r="W94" s="18"/>
    </row>
    <row r="96" spans="10:23" x14ac:dyDescent="0.3">
      <c r="J96" s="2"/>
    </row>
    <row r="97" spans="10:23" x14ac:dyDescent="0.3">
      <c r="J97" s="3"/>
      <c r="P97" s="17"/>
    </row>
    <row r="98" spans="10:23" x14ac:dyDescent="0.3"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</row>
    <row r="99" spans="10:23" x14ac:dyDescent="0.3"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</row>
    <row r="100" spans="10:23" x14ac:dyDescent="0.3"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</row>
    <row r="101" spans="10:23" x14ac:dyDescent="0.3"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</row>
    <row r="102" spans="10:23" x14ac:dyDescent="0.3"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</row>
    <row r="103" spans="10:23" ht="14.4" customHeight="1" x14ac:dyDescent="0.3"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</row>
    <row r="104" spans="10:23" x14ac:dyDescent="0.3"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</row>
    <row r="105" spans="10:23" x14ac:dyDescent="0.3">
      <c r="J105" s="17"/>
      <c r="K105" s="17"/>
      <c r="L105" s="17"/>
      <c r="M105" s="17"/>
      <c r="N105" s="17"/>
      <c r="O105" s="17"/>
      <c r="Q105" s="17"/>
      <c r="R105" s="17"/>
      <c r="S105" s="17"/>
      <c r="T105" s="17"/>
      <c r="U105" s="17"/>
      <c r="V105" s="17"/>
      <c r="W105" s="17"/>
    </row>
  </sheetData>
  <mergeCells count="9">
    <mergeCell ref="R3:W4"/>
    <mergeCell ref="R5:W6"/>
    <mergeCell ref="B65:D65"/>
    <mergeCell ref="B4:E4"/>
    <mergeCell ref="A37:C37"/>
    <mergeCell ref="D37:D38"/>
    <mergeCell ref="C19:E19"/>
    <mergeCell ref="C20:E20"/>
    <mergeCell ref="C21:E21"/>
  </mergeCells>
  <phoneticPr fontId="28" type="noConversion"/>
  <pageMargins left="0.7" right="0.7" top="0.9375" bottom="0.75" header="0.3" footer="0.3"/>
  <pageSetup paperSize="9" scale="71" orientation="portrait" r:id="rId1"/>
  <headerFooter>
    <oddHeader>&amp;R&amp;G</oddHeader>
    <oddFooter>&amp;C                                                                 &amp;A</oddFooter>
  </headerFooter>
  <ignoredErrors>
    <ignoredError sqref="G35:G36" unlockedFormula="1"/>
  </ignoredError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GTNT-CALCULATION</vt:lpstr>
      <vt:lpstr>B</vt:lpstr>
      <vt:lpstr>D</vt:lpstr>
      <vt:lpstr>Disp</vt:lpstr>
      <vt:lpstr>dr</vt:lpstr>
      <vt:lpstr>GT</vt:lpstr>
      <vt:lpstr>K_1</vt:lpstr>
      <vt:lpstr>K_2</vt:lpstr>
      <vt:lpstr>K_3</vt:lpstr>
      <vt:lpstr>Loa</vt:lpstr>
      <vt:lpstr>Lpp</vt:lpstr>
      <vt:lpstr>N_1</vt:lpstr>
      <vt:lpstr>N_2</vt:lpstr>
      <vt:lpstr>NT</vt:lpstr>
      <vt:lpstr>'GTNT-CALCULATION'!Print_Area</vt:lpstr>
      <vt:lpstr>V</vt:lpstr>
      <vt:lpstr>Vc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 Crama</dc:creator>
  <cp:lastModifiedBy>Alona Haber</cp:lastModifiedBy>
  <cp:lastPrinted>2026-01-26T10:57:21Z</cp:lastPrinted>
  <dcterms:created xsi:type="dcterms:W3CDTF">2016-03-10T10:07:55Z</dcterms:created>
  <dcterms:modified xsi:type="dcterms:W3CDTF">2026-01-28T12:41:08Z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Cat_bb72f4bc-c1d6-4dbb-8b32-75d1813113ed_Version">
    <vt:lpwstr>1</vt:lpwstr>
  </property>
  <property fmtid="{D5CDD505-2E9C-101B-9397-08002B2CF9AE}" pid="3" name="STCat_bb72f4bc-c1d6-4dbb-8b32-75d1813113ed_Id">
    <vt:lpwstr>bb72f4bc-c1d6-4dbb-8b32-75d1813113ed</vt:lpwstr>
  </property>
  <property fmtid="{D5CDD505-2E9C-101B-9397-08002B2CF9AE}" pid="4" name="STCat_bb72f4bc-c1d6-4dbb-8b32-75d1813113ed_Name">
    <vt:lpwstr>Projects</vt:lpwstr>
  </property>
</Properties>
</file>